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13_ncr:1_{8AB2B348-4245-4A63-9408-8BFC645B49FD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Portada" sheetId="1" r:id="rId1"/>
    <sheet name="Casos de Prueba" sheetId="2" r:id="rId2"/>
    <sheet name="Pruebas Estándar" sheetId="3" r:id="rId3"/>
    <sheet name="Total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B8" i="4"/>
  <c r="B5" i="4"/>
  <c r="B4" i="4"/>
  <c r="B2" i="4"/>
</calcChain>
</file>

<file path=xl/sharedStrings.xml><?xml version="1.0" encoding="utf-8"?>
<sst xmlns="http://schemas.openxmlformats.org/spreadsheetml/2006/main" count="414" uniqueCount="265">
  <si>
    <t>PLANILLA CASOS DE PRUEBA – ProcessSA</t>
  </si>
  <si>
    <t>ID CU</t>
  </si>
  <si>
    <t>CASO DE USO</t>
  </si>
  <si>
    <t>MÓDULO</t>
  </si>
  <si>
    <t>FUNCIONALIDAD</t>
  </si>
  <si>
    <t>CP</t>
  </si>
  <si>
    <t>QUÉ PROBAR</t>
  </si>
  <si>
    <t>PROCEDIMIENTO (CÓMO)</t>
  </si>
  <si>
    <t>DATOS DE PRUEBA</t>
  </si>
  <si>
    <t>RESULTADO ESPERADO</t>
  </si>
  <si>
    <t>RESULTADO OBTENIDO</t>
  </si>
  <si>
    <t>OBSERVACIÓN</t>
  </si>
  <si>
    <t>RF / NF
ASOCIADO</t>
  </si>
  <si>
    <t>OK</t>
  </si>
  <si>
    <t>NO</t>
  </si>
  <si>
    <t>N/A</t>
  </si>
  <si>
    <t>P</t>
  </si>
  <si>
    <t>CU-01</t>
  </si>
  <si>
    <t>Login manual</t>
  </si>
  <si>
    <t>Login</t>
  </si>
  <si>
    <t>Funcional</t>
  </si>
  <si>
    <t>CP-01</t>
  </si>
  <si>
    <t>Login con credenciales válidas</t>
  </si>
  <si>
    <t>1. Abrir app
2. Ingresar email y contraseña correctos
3. Tap 'Iniciar sesión'</t>
  </si>
  <si>
    <t>email: admin@admin.com
pass: admin123</t>
  </si>
  <si>
    <t>Navega a DashboardScreen. Token JWT almacenado en provider.</t>
  </si>
  <si>
    <t>X</t>
  </si>
  <si>
    <t>RF-02</t>
  </si>
  <si>
    <t>CP-02</t>
  </si>
  <si>
    <t>Login con contraseña incorrecta</t>
  </si>
  <si>
    <t>1. Abrir app
2. Ingresar email válido + pass incorrecto
3. Tap 'Iniciar sesión'</t>
  </si>
  <si>
    <t>Muestra SnackBar rojo 'Correo o contraseña incorrectos'. No navega.</t>
  </si>
  <si>
    <t>CP-03</t>
  </si>
  <si>
    <t>Login con campos vacíos</t>
  </si>
  <si>
    <t>1. Abrir app
2. No ingresar nada
3. Tap 'Iniciar sesión'</t>
  </si>
  <si>
    <t>(sin datos)</t>
  </si>
  <si>
    <t>Muestra SnackBar rojo 'Completa correo y contraseña'. No hace petición HTTP.</t>
  </si>
  <si>
    <t>Interfaz</t>
  </si>
  <si>
    <t>CP-04</t>
  </si>
  <si>
    <t>Mostrar/ocultar contraseña</t>
  </si>
  <si>
    <t>1. Abrir app
2. Ingresar texto en campo contraseña
3. Tap ícono ojo</t>
  </si>
  <si>
    <t>pass: cualquier texto</t>
  </si>
  <si>
    <t>El texto se muestra/oculta correctamente al tap. Ícono cambia entre visibility/visibility_off.</t>
  </si>
  <si>
    <t>Login Google</t>
  </si>
  <si>
    <t>CP-05</t>
  </si>
  <si>
    <t>Login con cuenta Google válida</t>
  </si>
  <si>
    <t>1. Abrir app
2. Tap 'Continuar con Google'
3. Seleccionar cuenta Google activa</t>
  </si>
  <si>
    <t>Cuenta Google válida registrada en el backend</t>
  </si>
  <si>
    <t>Navega a DashboardScreen. usuarioLogueado != null en provider.</t>
  </si>
  <si>
    <t>CU-14</t>
  </si>
  <si>
    <t>Registro de usuario</t>
  </si>
  <si>
    <t>Registro</t>
  </si>
  <si>
    <t>CP-06</t>
  </si>
  <si>
    <t>Registrar usuario con todos los campos obligatorios</t>
  </si>
  <si>
    <t>1. Tap '¿No tienes cuenta?'
2. Ingresar Nombre, Apellido, Correo, Contraseña, Confirmar
3. Aceptar términos
4. Tap 'Crear cuenta'</t>
  </si>
  <si>
    <t>nombre: Juan
apellido: Pérez
email: juan@test.cl
pass: Prueba123
confirm: Prueba123</t>
  </si>
  <si>
    <t>SnackBar verde 'Cuenta creada correctamente'. Regresa a LoginScreen.</t>
  </si>
  <si>
    <t>RF-20</t>
  </si>
  <si>
    <t>CP-07</t>
  </si>
  <si>
    <t>Registrar con contraseñas no coincidentes</t>
  </si>
  <si>
    <t>1. Tap '¿No tienes cuenta?'
2. Ingresar datos válidos
3. Ingresar contraseñas distintas
4. Tap 'Crear cuenta'</t>
  </si>
  <si>
    <t>pass: Prueba123
confirm: Otra456</t>
  </si>
  <si>
    <t>SnackBar rojo 'Las contraseñas no coinciden'. No realiza registro.</t>
  </si>
  <si>
    <t>CP-08</t>
  </si>
  <si>
    <t>Registrar sin aceptar términos</t>
  </si>
  <si>
    <t>1. Completar todos los campos correctamente
2. No marcar checkbox de términos
3. Tap 'Crear cuenta'</t>
  </si>
  <si>
    <t>Todos los campos válidos, checkbox sin marcar</t>
  </si>
  <si>
    <t>SnackBar rojo 'Debes aceptar los términos y condiciones'.</t>
  </si>
  <si>
    <t>CP-09</t>
  </si>
  <si>
    <t>Validación visual de requisitos de contraseña</t>
  </si>
  <si>
    <t>1. Navegar a RegistroScreen
2. Ir escribiendo en campo contraseña</t>
  </si>
  <si>
    <t>pass: a → aA → aA1 → aA12345</t>
  </si>
  <si>
    <t>Indicadores cambian a verde progresivamente: 8 chars, mayúscula, número.</t>
  </si>
  <si>
    <t>CP-10</t>
  </si>
  <si>
    <t>Botón 'Volver' regresa a LoginScreen</t>
  </si>
  <si>
    <t>1. Tap '¿No tienes cuenta?'
2. Tap flecha atrás</t>
  </si>
  <si>
    <t>Regresa a LoginScreen sin errores.</t>
  </si>
  <si>
    <t>CU-08</t>
  </si>
  <si>
    <t>Dashboard</t>
  </si>
  <si>
    <t>CP-11</t>
  </si>
  <si>
    <t>Dashboard carga correctamente post-login</t>
  </si>
  <si>
    <t>1. Login exitoso
2. Observar DashboardScreen</t>
  </si>
  <si>
    <t>Usuario logueado con rol admin</t>
  </si>
  <si>
    <t>Se muestran las secciones del dashboard. Nombre de usuario visible en pantalla.</t>
  </si>
  <si>
    <t>RF-11</t>
  </si>
  <si>
    <t>CU-02</t>
  </si>
  <si>
    <t>Gestión usuarios (Admin)</t>
  </si>
  <si>
    <t>AdminScreen</t>
  </si>
  <si>
    <t>CP-12</t>
  </si>
  <si>
    <t>Admin visualiza listado de usuarios</t>
  </si>
  <si>
    <t>1. Login como admin
2. Navegar a AdminScreen</t>
  </si>
  <si>
    <t>Rol: admin</t>
  </si>
  <si>
    <t>Lista todos los usuarios del sistema cargados desde el backend.</t>
  </si>
  <si>
    <t>RF-01</t>
  </si>
  <si>
    <t>CP-13</t>
  </si>
  <si>
    <t>Admin crea nuevo usuario con datos válidos</t>
  </si>
  <si>
    <t>1. Login admin → AdminScreen
2. Tap FAB 'Nuevo usuario'
3. Llenar formulario completo
4. Guardar</t>
  </si>
  <si>
    <t>nombre: Test
email: nuevo@test.cl
pass: Test123
rol: usuario
org: org1
dep: dep1</t>
  </si>
  <si>
    <t>Usuario aparece en la lista. SnackBar verde de éxito.</t>
  </si>
  <si>
    <t>CP-14</t>
  </si>
  <si>
    <t>Admin edita usuario existente</t>
  </si>
  <si>
    <t>1. Login admin → AdminScreen
2. Tap editar en un usuario
3. Cambiar nombre
4. Guardar</t>
  </si>
  <si>
    <t>Cambiar nombre de 'Test' a 'TestEditado'</t>
  </si>
  <si>
    <t>El nombre se actualiza en la lista. SnackBar de confirmación.</t>
  </si>
  <si>
    <t>CP-15</t>
  </si>
  <si>
    <t>Admin elimina usuario con confirmación</t>
  </si>
  <si>
    <t>1. Login admin → AdminScreen
2. Tap eliminar en usuario
3. Confirmar en diálogo</t>
  </si>
  <si>
    <t>Usuario existente</t>
  </si>
  <si>
    <t>Usuario desaparece del listado. SnackBar 'Usuario eliminado'.</t>
  </si>
  <si>
    <t>CP-16</t>
  </si>
  <si>
    <t>Admin cancela eliminación de usuario</t>
  </si>
  <si>
    <t>1. Login admin → AdminScreen
2. Tap eliminar en usuario
3. Tap 'Cancelar' en diálogo</t>
  </si>
  <si>
    <t>El usuario permanece en la lista. No se realiza petición DELETE.</t>
  </si>
  <si>
    <t>CU-03</t>
  </si>
  <si>
    <t>Control de acceso por rol</t>
  </si>
  <si>
    <t>Navegación</t>
  </si>
  <si>
    <t>CP-17</t>
  </si>
  <si>
    <t>Usuario con rol admin ve menú AdminScreen</t>
  </si>
  <si>
    <t>1. Login con usuario rol=admin
2. Revisar menú de navegación</t>
  </si>
  <si>
    <t>El menú incluye opción 'Administración'. UsuarioProvider.esAdmin == true.</t>
  </si>
  <si>
    <t>RF-03</t>
  </si>
  <si>
    <t>CP-18</t>
  </si>
  <si>
    <t>Usuario sin rol admin NO ve AdminScreen</t>
  </si>
  <si>
    <t>1. Login con usuario rol=usuario
2. Revisar menú de navegación</t>
  </si>
  <si>
    <t>Rol: usuario</t>
  </si>
  <si>
    <t>No aparece opción 'Administración'. UsuarioProvider.esAdmin == false.</t>
  </si>
  <si>
    <t>CU-15</t>
  </si>
  <si>
    <t>Ver perfil</t>
  </si>
  <si>
    <t>PerfilScreen</t>
  </si>
  <si>
    <t>CP-19</t>
  </si>
  <si>
    <t>Usuario ve sus datos de perfil correctamente</t>
  </si>
  <si>
    <t>1. Login
2. Navegar a PerfilScreen</t>
  </si>
  <si>
    <t>Usuario con nombre, rol, org y departamento asignados</t>
  </si>
  <si>
    <t>Se muestran nombre, apellido, rol, organización y departamento del usuario logueado.</t>
  </si>
  <si>
    <t>RF-21</t>
  </si>
  <si>
    <t>CP-20</t>
  </si>
  <si>
    <t>Usuario edita su perfil</t>
  </si>
  <si>
    <t>1. Login → PerfilScreen
2. Tap 'Editar perfil'
3. Cambiar teléfono
4. Guardar</t>
  </si>
  <si>
    <t>telefono: +56912345678</t>
  </si>
  <si>
    <t>El teléfono actualizado se muestra en PerfilScreen.</t>
  </si>
  <si>
    <t>CU-04</t>
  </si>
  <si>
    <t>Gestión de procesos</t>
  </si>
  <si>
    <t>ProcesosScreen</t>
  </si>
  <si>
    <t>CP-21</t>
  </si>
  <si>
    <t>Listar procesos desde el backend</t>
  </si>
  <si>
    <t>1. Login
2. Navegar a ProcesosScreen</t>
  </si>
  <si>
    <t>Backend con al menos 1 proceso en DB</t>
  </si>
  <si>
    <t>Lista de procesos cargada. Cada tarjeta muestra nombre, fecha y color de estado.</t>
  </si>
  <si>
    <t>RF-05</t>
  </si>
  <si>
    <t>CP-22</t>
  </si>
  <si>
    <t>Color de proceso según fecha límite</t>
  </si>
  <si>
    <t>1. Tener procesos con fechas: pasada, ≤7 días, &gt;7 días
2. Cargar ProcesosScreen</t>
  </si>
  <si>
    <t>Proceso vencido, en riesgo y en curso</t>
  </si>
  <si>
    <t>Colores: rojo (vencido), naranja (≤7 días), verde (&gt;7 días).</t>
  </si>
  <si>
    <t>RF-05 / RF-07</t>
  </si>
  <si>
    <t>CP-23</t>
  </si>
  <si>
    <t>Eliminar proceso con confirmación</t>
  </si>
  <si>
    <t>1. ProcesosScreen
2. Tap eliminar en proceso
3. Confirmar</t>
  </si>
  <si>
    <t>Proceso existente</t>
  </si>
  <si>
    <t>Proceso desaparece de la lista. Lista se refresca automáticamente.</t>
  </si>
  <si>
    <t>CU-05</t>
  </si>
  <si>
    <t>Gestión de tareas</t>
  </si>
  <si>
    <t>TareasScreen</t>
  </si>
  <si>
    <t>CP-24</t>
  </si>
  <si>
    <t>Listar tareas (vista admin)</t>
  </si>
  <si>
    <t>1. Login admin
2. Navegar a TareasScreen</t>
  </si>
  <si>
    <t>esAdmin = true, tareas en DB</t>
  </si>
  <si>
    <t>Se listan todas las tareas del sistema con su estado.</t>
  </si>
  <si>
    <t>RF-06</t>
  </si>
  <si>
    <t>CU-07</t>
  </si>
  <si>
    <t>CP-25</t>
  </si>
  <si>
    <t>Color de tarjeta según estado de tarea</t>
  </si>
  <si>
    <t>1. Tener tareas con estados: completada, en curso, vencida
2. Cargar TareasScreen</t>
  </si>
  <si>
    <t>Tareas con estados distintos</t>
  </si>
  <si>
    <t>Colores: verde (completada), azul (activo/en curso), rojo (vencida/inactivo).</t>
  </si>
  <si>
    <t>RF-07</t>
  </si>
  <si>
    <t>CP-26</t>
  </si>
  <si>
    <t>Crear nueva tarea</t>
  </si>
  <si>
    <t>1. TareasScreen
2. Tap botón crear
3. Completar formulario
4. Guardar</t>
  </si>
  <si>
    <t>Datos válidos de tarea nueva</t>
  </si>
  <si>
    <t>Tarea aparece en la lista. Lista se refresca.</t>
  </si>
  <si>
    <t>CP-27</t>
  </si>
  <si>
    <t>Ver detalle de tarea</t>
  </si>
  <si>
    <t>1. TareasScreen
2. Tap en una tarea</t>
  </si>
  <si>
    <t>Tarea existente</t>
  </si>
  <si>
    <t>Navega a TareaDetalleScreen con los datos de la tarea seleccionada.</t>
  </si>
  <si>
    <t>CU-10</t>
  </si>
  <si>
    <t>Config. notificaciones</t>
  </si>
  <si>
    <t>NotificacionesScreen</t>
  </si>
  <si>
    <t>CP-28</t>
  </si>
  <si>
    <t>Usuario configura preferencias de notificación</t>
  </si>
  <si>
    <t>1. Login
2. Navegar a NotificacionesConfigScreen
3. Togglear opciones</t>
  </si>
  <si>
    <t>Opciones de notificación visibles</t>
  </si>
  <si>
    <t>Preferencias se guardan y persisten. SnackBar de confirmación.</t>
  </si>
  <si>
    <t>RF-10</t>
  </si>
  <si>
    <t>CU-13</t>
  </si>
  <si>
    <t>Logout</t>
  </si>
  <si>
    <t>Dashboard/Perfil</t>
  </si>
  <si>
    <t>CP-29</t>
  </si>
  <si>
    <t>Cerrar sesión limpia el estado del provider</t>
  </si>
  <si>
    <t>1. Login exitoso
2. Tap 'Cerrar sesión'
3. Confirmar</t>
  </si>
  <si>
    <t>UsuarioProvider.usuarioLogueado == null. Token limpiado. Navega a LoginScreen.</t>
  </si>
  <si>
    <t>—</t>
  </si>
  <si>
    <t>Interfaz general</t>
  </si>
  <si>
    <t>General</t>
  </si>
  <si>
    <t>CP-30</t>
  </si>
  <si>
    <t>Todos los botones tienen ícono o texto descriptivo</t>
  </si>
  <si>
    <t>Recorrer todas las pantallas verificando botones</t>
  </si>
  <si>
    <t>(navegación manual)</t>
  </si>
  <si>
    <t>Cada botón/FAB tiene label o ícono que describe su función.</t>
  </si>
  <si>
    <t>NF-07</t>
  </si>
  <si>
    <t>ProcessSA – Planilla de Casos de Prueba</t>
  </si>
  <si>
    <t>Flutter + Spring Boot | Proyecto Académico Duoc UC</t>
  </si>
  <si>
    <t>PROYECTO</t>
  </si>
  <si>
    <t>ProcessSA – Gestión de Procesos Empresariales</t>
  </si>
  <si>
    <t>CLIENTE</t>
  </si>
  <si>
    <t>Duoc UC</t>
  </si>
  <si>
    <t>Frontend Flutter / Backend Spring Boot</t>
  </si>
  <si>
    <t>AUTOR</t>
  </si>
  <si>
    <t>Seba</t>
  </si>
  <si>
    <t>VERSIÓN DOC</t>
  </si>
  <si>
    <t>001</t>
  </si>
  <si>
    <t>FECHA</t>
  </si>
  <si>
    <t>CICLO Nº</t>
  </si>
  <si>
    <t>01</t>
  </si>
  <si>
    <t>ANALISTA TEST</t>
  </si>
  <si>
    <t>Casos de Prueba Estándar QA – ProcessSA</t>
  </si>
  <si>
    <t>Estado: OK = cumple | NC = no cumple | NA = no aplica</t>
  </si>
  <si>
    <t>1. INTERFAZ GRÁFICA</t>
  </si>
  <si>
    <t>E-1.1</t>
  </si>
  <si>
    <t>Verificar que existe ícono en mensajes desplegados por la app (SnackBars de error/éxito).</t>
  </si>
  <si>
    <t>E-1.2</t>
  </si>
  <si>
    <t>Verificar que los botones tienen ícono o frase adecuada (FAB Nuevo Usuario, botón Iniciar Sesión, botón Crear Cuenta, etc.).</t>
  </si>
  <si>
    <t>E-1.3</t>
  </si>
  <si>
    <t>Verificar que existe opción 'Volver' en pantallas secundarias (RegistroScreen, EditarPerfilScreen, CrearTareaScreen, TareaDetalleScreen).</t>
  </si>
  <si>
    <t>2. VALIDACIÓN DE DATOS DE ENTRADA</t>
  </si>
  <si>
    <t>E-2.1</t>
  </si>
  <si>
    <t>Verificar correcta lectura del email y contraseña ingresados en LoginScreen.</t>
  </si>
  <si>
    <t>E-2.2</t>
  </si>
  <si>
    <t>Verificar que no se pueden modificar datos en pantallas de sólo lectura (PerfilScreen vista sin editar).</t>
  </si>
  <si>
    <t>E-2.3</t>
  </si>
  <si>
    <t>Verificar la eliminación de usuarios, procesos y tareas funciona y actualiza la lista.</t>
  </si>
  <si>
    <t>3. PRUEBAS FUNCIONALES</t>
  </si>
  <si>
    <t>E-3.1</t>
  </si>
  <si>
    <t>Verificar que la app es compatible con el emulador Android (AVD) y un dispositivo físico.</t>
  </si>
  <si>
    <t>E-3.2</t>
  </si>
  <si>
    <t>Determinar y validar aspectos técnicos: conexión a MySQL a través de Spring Boot, JWT válido, roles en DB.</t>
  </si>
  <si>
    <t>E-3.3</t>
  </si>
  <si>
    <t>Verificar correcto acceso a sub-módulos: AdminScreen (solo admin), ProcesosScreen, TareasScreen, PerfilScreen.</t>
  </si>
  <si>
    <t>4. VERIFICACIÓN DE INFORMES / LISTAS</t>
  </si>
  <si>
    <t>E-4.1</t>
  </si>
  <si>
    <t>Verificar que los listados de usuarios, procesos y tareas tienen formato correcto (cards, colores de estado).</t>
  </si>
  <si>
    <t>E-4.2</t>
  </si>
  <si>
    <t>Verificar que la lista de tareas sigue el orden retornado por el backend.</t>
  </si>
  <si>
    <t>E-4.3</t>
  </si>
  <si>
    <t>Verificar que los estados de proceso/tarea se muestran con el color correspondiente (verde/naranja/rojo).</t>
  </si>
  <si>
    <t>Resumen de Resultados – ProcessSA</t>
  </si>
  <si>
    <t>Total Casos de Prueba definidos</t>
  </si>
  <si>
    <t>Total OK (columna J marcada)</t>
  </si>
  <si>
    <t>Total NO OK (columna K marcada)</t>
  </si>
  <si>
    <t>Total N/A (columna L marcada)</t>
  </si>
  <si>
    <t>Total Pendientes (P)</t>
  </si>
  <si>
    <t>Pruebas Estándar OK</t>
  </si>
  <si>
    <t>Pruebas Estándar NC</t>
  </si>
  <si>
    <t>Pruebas Estándar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</si>
</sst>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0D3B6E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7A3C"/>
      <name val="Arial"/>
      <charset val="1"/>
    </font>
    <font>
      <b/>
      <sz val="10"/>
      <color rgb="FFA92020"/>
      <name val="Arial"/>
      <charset val="1"/>
    </font>
    <font>
      <b/>
      <sz val="10"/>
      <color rgb="FF4A4A4A"/>
      <name val="Arial"/>
      <charset val="1"/>
    </font>
    <font>
      <b/>
      <sz val="9"/>
      <color rgb="FF185FA5"/>
      <name val="Arial"/>
      <charset val="1"/>
    </font>
    <font>
      <b/>
      <sz val="13"/>
      <color rgb="FFFFFFFF"/>
      <name val="Arial"/>
      <charset val="1"/>
    </font>
    <font>
      <i/>
      <sz val="9"/>
      <color rgb="FF4A4A4A"/>
      <name val="Arial"/>
      <charset val="1"/>
    </font>
    <font>
      <b/>
      <sz val="10"/>
      <name val="Arial"/>
      <charset val="1"/>
    </font>
    <font>
      <b/>
      <sz val="9"/>
      <color rgb="FF000000"/>
      <name val="Arial"/>
      <charset val="1"/>
    </font>
    <font>
      <b/>
      <sz val="11"/>
      <color rgb="FF185FA5"/>
      <name val="Arial"/>
      <charset val="1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0D3B6E"/>
        <bgColor rgb="FF333399"/>
      </patternFill>
    </fill>
    <fill>
      <patternFill patternType="solid">
        <fgColor rgb="FF185FA5"/>
        <bgColor rgb="FF008080"/>
      </patternFill>
    </fill>
    <fill>
      <patternFill patternType="solid">
        <fgColor rgb="FFD6E8FB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D4EDDA"/>
        <bgColor rgb="FFD6E8FB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5F5F5"/>
      </patternFill>
    </fill>
    <fill>
      <patternFill patternType="solid">
        <fgColor rgb="FFF5F5F5"/>
        <b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6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6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6E8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B6E"/>
      <rgbColor rgb="FF339966"/>
      <rgbColor rgb="FF003300"/>
      <rgbColor rgb="FF333300"/>
      <rgbColor rgb="FFA9202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Normal="100" workbookViewId="0">
      <selection sqref="A1:B1"/>
    </sheetView>
  </sheetViews>
  <sheetFormatPr baseColWidth="10" defaultColWidth="8.7109375" defaultRowHeight="15" x14ac:dyDescent="0.25"/>
  <cols>
    <col min="1" max="1" width="30" customWidth="1"/>
    <col min="2" max="2" width="50" customWidth="1"/>
  </cols>
  <sheetData>
    <row r="1" spans="1:2" ht="39.75" customHeight="1" x14ac:dyDescent="0.25">
      <c r="A1" s="31" t="s">
        <v>211</v>
      </c>
      <c r="B1" s="23"/>
    </row>
    <row r="2" spans="1:2" ht="21.75" customHeight="1" x14ac:dyDescent="0.25">
      <c r="A2" s="30" t="s">
        <v>212</v>
      </c>
      <c r="B2" s="23"/>
    </row>
    <row r="4" spans="1:2" ht="18" customHeight="1" x14ac:dyDescent="0.25">
      <c r="A4" s="1" t="s">
        <v>213</v>
      </c>
      <c r="B4" s="2" t="s">
        <v>214</v>
      </c>
    </row>
    <row r="5" spans="1:2" ht="18" customHeight="1" x14ac:dyDescent="0.25">
      <c r="A5" s="1" t="s">
        <v>215</v>
      </c>
      <c r="B5" s="2" t="s">
        <v>216</v>
      </c>
    </row>
    <row r="6" spans="1:2" ht="18" customHeight="1" x14ac:dyDescent="0.25">
      <c r="A6" s="1" t="s">
        <v>3</v>
      </c>
      <c r="B6" s="2" t="s">
        <v>217</v>
      </c>
    </row>
    <row r="7" spans="1:2" ht="18" customHeight="1" x14ac:dyDescent="0.25">
      <c r="A7" s="1" t="s">
        <v>218</v>
      </c>
      <c r="B7" s="2" t="s">
        <v>219</v>
      </c>
    </row>
    <row r="8" spans="1:2" ht="18" customHeight="1" x14ac:dyDescent="0.25">
      <c r="A8" s="1" t="s">
        <v>220</v>
      </c>
      <c r="B8" s="2" t="s">
        <v>221</v>
      </c>
    </row>
    <row r="9" spans="1:2" ht="18" customHeight="1" x14ac:dyDescent="0.25">
      <c r="A9" s="1" t="s">
        <v>222</v>
      </c>
      <c r="B9" s="2"/>
    </row>
    <row r="10" spans="1:2" ht="18" customHeight="1" x14ac:dyDescent="0.25">
      <c r="A10" s="1" t="s">
        <v>223</v>
      </c>
      <c r="B10" s="2" t="s">
        <v>224</v>
      </c>
    </row>
    <row r="11" spans="1:2" ht="18" customHeight="1" x14ac:dyDescent="0.25">
      <c r="A11" s="1" t="s">
        <v>225</v>
      </c>
      <c r="B11" s="2"/>
    </row>
  </sheetData>
  <mergeCells count="2"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showGridLines="0" tabSelected="1" topLeftCell="B1" zoomScaleNormal="100" workbookViewId="0">
      <pane ySplit="3" topLeftCell="A4" activePane="bottomLeft" state="frozen"/>
      <selection pane="bottomLeft" activeCell="F8" sqref="F8"/>
    </sheetView>
  </sheetViews>
  <sheetFormatPr baseColWidth="10" defaultColWidth="8.7109375" defaultRowHeight="15" x14ac:dyDescent="0.25"/>
  <cols>
    <col min="1" max="1" width="6" customWidth="1"/>
    <col min="2" max="2" width="20" customWidth="1"/>
    <col min="3" max="3" width="18" customWidth="1"/>
    <col min="4" max="4" width="14" customWidth="1"/>
    <col min="5" max="5" width="8" customWidth="1"/>
    <col min="6" max="6" width="32" customWidth="1"/>
    <col min="7" max="7" width="40" customWidth="1"/>
    <col min="8" max="8" width="30" customWidth="1"/>
    <col min="9" max="9" width="32" customWidth="1"/>
    <col min="10" max="13" width="8" customWidth="1"/>
    <col min="14" max="14" width="30" customWidth="1"/>
  </cols>
  <sheetData>
    <row r="1" spans="1:15" ht="36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5" ht="30" customHeight="1" x14ac:dyDescent="0.25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8" t="s">
        <v>10</v>
      </c>
      <c r="K2" s="29"/>
      <c r="L2" s="29"/>
      <c r="M2" s="29"/>
      <c r="N2" s="26" t="s">
        <v>11</v>
      </c>
      <c r="O2" s="20" t="s">
        <v>12</v>
      </c>
    </row>
    <row r="3" spans="1:15" ht="21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3" t="s">
        <v>13</v>
      </c>
      <c r="K3" s="4" t="s">
        <v>14</v>
      </c>
      <c r="L3" s="5" t="s">
        <v>15</v>
      </c>
      <c r="M3" s="6" t="s">
        <v>16</v>
      </c>
      <c r="N3" s="27"/>
    </row>
    <row r="4" spans="1:15" ht="60" customHeight="1" x14ac:dyDescent="0.25">
      <c r="A4" s="7" t="s">
        <v>17</v>
      </c>
      <c r="B4" s="2" t="s">
        <v>18</v>
      </c>
      <c r="C4" s="2" t="s">
        <v>19</v>
      </c>
      <c r="D4" s="7" t="s">
        <v>20</v>
      </c>
      <c r="E4" s="8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19" t="s">
        <v>26</v>
      </c>
      <c r="K4" s="10"/>
      <c r="L4" s="11"/>
      <c r="M4" s="12"/>
      <c r="N4" s="2"/>
      <c r="O4" s="21" t="s">
        <v>27</v>
      </c>
    </row>
    <row r="5" spans="1:15" ht="60" customHeight="1" x14ac:dyDescent="0.25">
      <c r="A5" s="13" t="s">
        <v>17</v>
      </c>
      <c r="B5" s="12" t="s">
        <v>18</v>
      </c>
      <c r="C5" s="12" t="s">
        <v>19</v>
      </c>
      <c r="D5" s="13" t="s">
        <v>20</v>
      </c>
      <c r="E5" s="14" t="s">
        <v>28</v>
      </c>
      <c r="F5" s="12" t="s">
        <v>29</v>
      </c>
      <c r="G5" s="12" t="s">
        <v>30</v>
      </c>
      <c r="H5" s="12" t="s">
        <v>24</v>
      </c>
      <c r="I5" s="12" t="s">
        <v>31</v>
      </c>
      <c r="J5" s="19" t="s">
        <v>26</v>
      </c>
      <c r="K5" s="10"/>
      <c r="L5" s="11"/>
      <c r="M5" s="12"/>
      <c r="N5" s="12"/>
      <c r="O5" s="21" t="s">
        <v>27</v>
      </c>
    </row>
    <row r="6" spans="1:15" ht="60" customHeight="1" x14ac:dyDescent="0.25">
      <c r="A6" s="7" t="s">
        <v>17</v>
      </c>
      <c r="B6" s="2" t="s">
        <v>18</v>
      </c>
      <c r="C6" s="2" t="s">
        <v>19</v>
      </c>
      <c r="D6" s="7" t="s">
        <v>20</v>
      </c>
      <c r="E6" s="8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19" t="s">
        <v>26</v>
      </c>
      <c r="K6" s="10"/>
      <c r="L6" s="11"/>
      <c r="M6" s="12"/>
      <c r="N6" s="2"/>
      <c r="O6" s="21" t="s">
        <v>27</v>
      </c>
    </row>
    <row r="7" spans="1:15" ht="60" customHeight="1" x14ac:dyDescent="0.25">
      <c r="A7" s="13" t="s">
        <v>17</v>
      </c>
      <c r="B7" s="12" t="s">
        <v>18</v>
      </c>
      <c r="C7" s="12" t="s">
        <v>19</v>
      </c>
      <c r="D7" s="13" t="s">
        <v>37</v>
      </c>
      <c r="E7" s="14" t="s">
        <v>38</v>
      </c>
      <c r="F7" s="12" t="s">
        <v>39</v>
      </c>
      <c r="G7" s="12" t="s">
        <v>40</v>
      </c>
      <c r="H7" s="12" t="s">
        <v>41</v>
      </c>
      <c r="I7" s="12" t="s">
        <v>42</v>
      </c>
      <c r="J7" s="19" t="s">
        <v>26</v>
      </c>
      <c r="K7" s="10"/>
      <c r="L7" s="11"/>
      <c r="M7" s="12"/>
      <c r="N7" s="12"/>
      <c r="O7" s="21" t="s">
        <v>27</v>
      </c>
    </row>
    <row r="8" spans="1:15" ht="60" customHeight="1" x14ac:dyDescent="0.25">
      <c r="A8" s="7" t="s">
        <v>17</v>
      </c>
      <c r="B8" s="2" t="s">
        <v>43</v>
      </c>
      <c r="C8" s="2" t="s">
        <v>19</v>
      </c>
      <c r="D8" s="7" t="s">
        <v>20</v>
      </c>
      <c r="E8" s="8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19" t="s">
        <v>26</v>
      </c>
      <c r="K8" s="10"/>
      <c r="L8" s="11"/>
      <c r="M8" s="12"/>
      <c r="N8" s="2"/>
      <c r="O8" s="21" t="s">
        <v>27</v>
      </c>
    </row>
    <row r="9" spans="1:15" ht="60" customHeight="1" x14ac:dyDescent="0.25">
      <c r="A9" s="13" t="s">
        <v>49</v>
      </c>
      <c r="B9" s="12" t="s">
        <v>50</v>
      </c>
      <c r="C9" s="12" t="s">
        <v>51</v>
      </c>
      <c r="D9" s="13" t="s">
        <v>20</v>
      </c>
      <c r="E9" s="14" t="s">
        <v>52</v>
      </c>
      <c r="F9" s="12" t="s">
        <v>53</v>
      </c>
      <c r="G9" s="12" t="s">
        <v>54</v>
      </c>
      <c r="H9" s="12" t="s">
        <v>55</v>
      </c>
      <c r="I9" s="12" t="s">
        <v>56</v>
      </c>
      <c r="J9" s="19" t="s">
        <v>26</v>
      </c>
      <c r="K9" s="10"/>
      <c r="L9" s="11"/>
      <c r="M9" s="12"/>
      <c r="N9" s="12"/>
      <c r="O9" s="21" t="s">
        <v>57</v>
      </c>
    </row>
    <row r="10" spans="1:15" ht="60" customHeight="1" x14ac:dyDescent="0.25">
      <c r="A10" s="7" t="s">
        <v>49</v>
      </c>
      <c r="B10" s="2" t="s">
        <v>50</v>
      </c>
      <c r="C10" s="2" t="s">
        <v>51</v>
      </c>
      <c r="D10" s="7" t="s">
        <v>20</v>
      </c>
      <c r="E10" s="8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19" t="s">
        <v>26</v>
      </c>
      <c r="K10" s="10"/>
      <c r="L10" s="11"/>
      <c r="M10" s="12"/>
      <c r="N10" s="2"/>
      <c r="O10" s="21" t="s">
        <v>57</v>
      </c>
    </row>
    <row r="11" spans="1:15" ht="60" customHeight="1" x14ac:dyDescent="0.25">
      <c r="A11" s="13" t="s">
        <v>49</v>
      </c>
      <c r="B11" s="12" t="s">
        <v>50</v>
      </c>
      <c r="C11" s="12" t="s">
        <v>51</v>
      </c>
      <c r="D11" s="13" t="s">
        <v>20</v>
      </c>
      <c r="E11" s="14" t="s">
        <v>63</v>
      </c>
      <c r="F11" s="12" t="s">
        <v>64</v>
      </c>
      <c r="G11" s="12" t="s">
        <v>65</v>
      </c>
      <c r="H11" s="12" t="s">
        <v>66</v>
      </c>
      <c r="I11" s="12" t="s">
        <v>67</v>
      </c>
      <c r="J11" s="19" t="s">
        <v>26</v>
      </c>
      <c r="K11" s="10"/>
      <c r="L11" s="11"/>
      <c r="M11" s="12"/>
      <c r="N11" s="12"/>
      <c r="O11" s="21" t="s">
        <v>57</v>
      </c>
    </row>
    <row r="12" spans="1:15" ht="60" customHeight="1" x14ac:dyDescent="0.25">
      <c r="A12" s="7" t="s">
        <v>49</v>
      </c>
      <c r="B12" s="2" t="s">
        <v>50</v>
      </c>
      <c r="C12" s="2" t="s">
        <v>51</v>
      </c>
      <c r="D12" s="7" t="s">
        <v>20</v>
      </c>
      <c r="E12" s="8" t="s">
        <v>68</v>
      </c>
      <c r="F12" s="2" t="s">
        <v>69</v>
      </c>
      <c r="G12" s="2" t="s">
        <v>70</v>
      </c>
      <c r="H12" s="2" t="s">
        <v>71</v>
      </c>
      <c r="I12" s="2" t="s">
        <v>72</v>
      </c>
      <c r="J12" s="19" t="s">
        <v>26</v>
      </c>
      <c r="K12" s="10"/>
      <c r="L12" s="11"/>
      <c r="M12" s="12"/>
      <c r="N12" s="2"/>
      <c r="O12" s="21" t="s">
        <v>57</v>
      </c>
    </row>
    <row r="13" spans="1:15" ht="60" customHeight="1" x14ac:dyDescent="0.25">
      <c r="A13" s="13" t="s">
        <v>49</v>
      </c>
      <c r="B13" s="12" t="s">
        <v>50</v>
      </c>
      <c r="C13" s="12" t="s">
        <v>51</v>
      </c>
      <c r="D13" s="13" t="s">
        <v>37</v>
      </c>
      <c r="E13" s="14" t="s">
        <v>73</v>
      </c>
      <c r="F13" s="12" t="s">
        <v>74</v>
      </c>
      <c r="G13" s="12" t="s">
        <v>75</v>
      </c>
      <c r="H13" s="12" t="s">
        <v>35</v>
      </c>
      <c r="I13" s="12" t="s">
        <v>76</v>
      </c>
      <c r="J13" s="19" t="s">
        <v>26</v>
      </c>
      <c r="K13" s="10"/>
      <c r="L13" s="11"/>
      <c r="M13" s="12"/>
      <c r="N13" s="12"/>
      <c r="O13" s="21" t="s">
        <v>57</v>
      </c>
    </row>
    <row r="14" spans="1:15" ht="60" customHeight="1" x14ac:dyDescent="0.25">
      <c r="A14" s="7" t="s">
        <v>77</v>
      </c>
      <c r="B14" s="2" t="s">
        <v>78</v>
      </c>
      <c r="C14" s="2" t="s">
        <v>78</v>
      </c>
      <c r="D14" s="7" t="s">
        <v>37</v>
      </c>
      <c r="E14" s="8" t="s">
        <v>79</v>
      </c>
      <c r="F14" s="2" t="s">
        <v>80</v>
      </c>
      <c r="G14" s="2" t="s">
        <v>81</v>
      </c>
      <c r="H14" s="2" t="s">
        <v>82</v>
      </c>
      <c r="I14" s="2" t="s">
        <v>83</v>
      </c>
      <c r="J14" s="19" t="s">
        <v>26</v>
      </c>
      <c r="K14" s="10"/>
      <c r="L14" s="11"/>
      <c r="M14" s="12"/>
      <c r="N14" s="2"/>
      <c r="O14" s="21" t="s">
        <v>84</v>
      </c>
    </row>
    <row r="15" spans="1:15" ht="60" customHeight="1" x14ac:dyDescent="0.25">
      <c r="A15" s="13" t="s">
        <v>85</v>
      </c>
      <c r="B15" s="12" t="s">
        <v>86</v>
      </c>
      <c r="C15" s="12" t="s">
        <v>87</v>
      </c>
      <c r="D15" s="13" t="s">
        <v>20</v>
      </c>
      <c r="E15" s="14" t="s">
        <v>88</v>
      </c>
      <c r="F15" s="12" t="s">
        <v>89</v>
      </c>
      <c r="G15" s="12" t="s">
        <v>90</v>
      </c>
      <c r="H15" s="12" t="s">
        <v>91</v>
      </c>
      <c r="I15" s="12" t="s">
        <v>92</v>
      </c>
      <c r="J15" s="19" t="s">
        <v>26</v>
      </c>
      <c r="K15" s="10"/>
      <c r="L15" s="11"/>
      <c r="M15" s="12"/>
      <c r="N15" s="12"/>
      <c r="O15" s="21" t="s">
        <v>93</v>
      </c>
    </row>
    <row r="16" spans="1:15" ht="60" customHeight="1" x14ac:dyDescent="0.25">
      <c r="A16" s="7" t="s">
        <v>85</v>
      </c>
      <c r="B16" s="2" t="s">
        <v>86</v>
      </c>
      <c r="C16" s="2" t="s">
        <v>87</v>
      </c>
      <c r="D16" s="7" t="s">
        <v>20</v>
      </c>
      <c r="E16" s="8" t="s">
        <v>94</v>
      </c>
      <c r="F16" s="2" t="s">
        <v>95</v>
      </c>
      <c r="G16" s="2" t="s">
        <v>96</v>
      </c>
      <c r="H16" s="2" t="s">
        <v>97</v>
      </c>
      <c r="I16" s="2" t="s">
        <v>98</v>
      </c>
      <c r="J16" s="19" t="s">
        <v>26</v>
      </c>
      <c r="K16" s="10"/>
      <c r="L16" s="11"/>
      <c r="M16" s="12"/>
      <c r="N16" s="2"/>
      <c r="O16" s="21" t="s">
        <v>93</v>
      </c>
    </row>
    <row r="17" spans="1:15" ht="60" customHeight="1" x14ac:dyDescent="0.25">
      <c r="A17" s="13" t="s">
        <v>85</v>
      </c>
      <c r="B17" s="12" t="s">
        <v>86</v>
      </c>
      <c r="C17" s="12" t="s">
        <v>87</v>
      </c>
      <c r="D17" s="13" t="s">
        <v>20</v>
      </c>
      <c r="E17" s="14" t="s">
        <v>99</v>
      </c>
      <c r="F17" s="12" t="s">
        <v>100</v>
      </c>
      <c r="G17" s="12" t="s">
        <v>101</v>
      </c>
      <c r="H17" s="12" t="s">
        <v>102</v>
      </c>
      <c r="I17" s="12" t="s">
        <v>103</v>
      </c>
      <c r="J17" s="19" t="s">
        <v>26</v>
      </c>
      <c r="K17" s="10"/>
      <c r="L17" s="11"/>
      <c r="M17" s="12"/>
      <c r="N17" s="12"/>
      <c r="O17" s="21" t="s">
        <v>93</v>
      </c>
    </row>
    <row r="18" spans="1:15" ht="60" customHeight="1" x14ac:dyDescent="0.25">
      <c r="A18" s="7" t="s">
        <v>85</v>
      </c>
      <c r="B18" s="2" t="s">
        <v>86</v>
      </c>
      <c r="C18" s="2" t="s">
        <v>87</v>
      </c>
      <c r="D18" s="7" t="s">
        <v>20</v>
      </c>
      <c r="E18" s="8" t="s">
        <v>104</v>
      </c>
      <c r="F18" s="2" t="s">
        <v>105</v>
      </c>
      <c r="G18" s="2" t="s">
        <v>106</v>
      </c>
      <c r="H18" s="2" t="s">
        <v>107</v>
      </c>
      <c r="I18" s="2" t="s">
        <v>108</v>
      </c>
      <c r="J18" s="19" t="s">
        <v>26</v>
      </c>
      <c r="K18" s="10"/>
      <c r="L18" s="11"/>
      <c r="M18" s="12"/>
      <c r="N18" s="2"/>
      <c r="O18" s="21" t="s">
        <v>93</v>
      </c>
    </row>
    <row r="19" spans="1:15" ht="60" customHeight="1" x14ac:dyDescent="0.25">
      <c r="A19" s="13" t="s">
        <v>85</v>
      </c>
      <c r="B19" s="12" t="s">
        <v>86</v>
      </c>
      <c r="C19" s="12" t="s">
        <v>87</v>
      </c>
      <c r="D19" s="13" t="s">
        <v>20</v>
      </c>
      <c r="E19" s="14" t="s">
        <v>109</v>
      </c>
      <c r="F19" s="12" t="s">
        <v>110</v>
      </c>
      <c r="G19" s="12" t="s">
        <v>111</v>
      </c>
      <c r="H19" s="12" t="s">
        <v>35</v>
      </c>
      <c r="I19" s="12" t="s">
        <v>112</v>
      </c>
      <c r="J19" s="19" t="s">
        <v>26</v>
      </c>
      <c r="K19" s="10"/>
      <c r="L19" s="11"/>
      <c r="M19" s="12"/>
      <c r="N19" s="12"/>
      <c r="O19" s="21" t="s">
        <v>93</v>
      </c>
    </row>
    <row r="20" spans="1:15" ht="60" customHeight="1" x14ac:dyDescent="0.25">
      <c r="A20" s="7" t="s">
        <v>113</v>
      </c>
      <c r="B20" s="2" t="s">
        <v>114</v>
      </c>
      <c r="C20" s="2" t="s">
        <v>115</v>
      </c>
      <c r="D20" s="7" t="s">
        <v>20</v>
      </c>
      <c r="E20" s="8" t="s">
        <v>116</v>
      </c>
      <c r="F20" s="2" t="s">
        <v>117</v>
      </c>
      <c r="G20" s="2" t="s">
        <v>118</v>
      </c>
      <c r="H20" s="2" t="s">
        <v>91</v>
      </c>
      <c r="I20" s="2" t="s">
        <v>119</v>
      </c>
      <c r="J20" s="19" t="s">
        <v>26</v>
      </c>
      <c r="K20" s="10"/>
      <c r="L20" s="11"/>
      <c r="M20" s="12"/>
      <c r="N20" s="2"/>
      <c r="O20" s="21" t="s">
        <v>120</v>
      </c>
    </row>
    <row r="21" spans="1:15" ht="60" customHeight="1" x14ac:dyDescent="0.25">
      <c r="A21" s="13" t="s">
        <v>113</v>
      </c>
      <c r="B21" s="12" t="s">
        <v>114</v>
      </c>
      <c r="C21" s="12" t="s">
        <v>115</v>
      </c>
      <c r="D21" s="13" t="s">
        <v>20</v>
      </c>
      <c r="E21" s="14" t="s">
        <v>121</v>
      </c>
      <c r="F21" s="12" t="s">
        <v>122</v>
      </c>
      <c r="G21" s="12" t="s">
        <v>123</v>
      </c>
      <c r="H21" s="12" t="s">
        <v>124</v>
      </c>
      <c r="I21" s="12" t="s">
        <v>125</v>
      </c>
      <c r="J21" s="19" t="s">
        <v>26</v>
      </c>
      <c r="K21" s="10"/>
      <c r="L21" s="11"/>
      <c r="M21" s="13"/>
      <c r="N21" s="12"/>
      <c r="O21" s="21" t="s">
        <v>120</v>
      </c>
    </row>
    <row r="22" spans="1:15" ht="60" customHeight="1" x14ac:dyDescent="0.25">
      <c r="A22" s="7" t="s">
        <v>126</v>
      </c>
      <c r="B22" s="2" t="s">
        <v>127</v>
      </c>
      <c r="C22" s="2" t="s">
        <v>128</v>
      </c>
      <c r="D22" s="7" t="s">
        <v>20</v>
      </c>
      <c r="E22" s="8" t="s">
        <v>129</v>
      </c>
      <c r="F22" s="2" t="s">
        <v>130</v>
      </c>
      <c r="G22" s="2" t="s">
        <v>131</v>
      </c>
      <c r="H22" s="2" t="s">
        <v>132</v>
      </c>
      <c r="I22" s="2" t="s">
        <v>133</v>
      </c>
      <c r="J22" s="19" t="s">
        <v>26</v>
      </c>
      <c r="K22" s="10"/>
      <c r="L22" s="11"/>
      <c r="M22" s="12"/>
      <c r="N22" s="2"/>
      <c r="O22" s="21" t="s">
        <v>134</v>
      </c>
    </row>
    <row r="23" spans="1:15" ht="60" customHeight="1" x14ac:dyDescent="0.25">
      <c r="A23" s="13" t="s">
        <v>126</v>
      </c>
      <c r="B23" s="12" t="s">
        <v>127</v>
      </c>
      <c r="C23" s="12" t="s">
        <v>128</v>
      </c>
      <c r="D23" s="13" t="s">
        <v>20</v>
      </c>
      <c r="E23" s="14" t="s">
        <v>135</v>
      </c>
      <c r="F23" s="12" t="s">
        <v>136</v>
      </c>
      <c r="G23" s="12" t="s">
        <v>137</v>
      </c>
      <c r="H23" s="12" t="s">
        <v>138</v>
      </c>
      <c r="I23" s="12" t="s">
        <v>139</v>
      </c>
      <c r="J23" s="19" t="s">
        <v>26</v>
      </c>
      <c r="K23" s="10"/>
      <c r="L23" s="11"/>
      <c r="M23" s="12"/>
      <c r="N23" s="12"/>
      <c r="O23" s="21" t="s">
        <v>134</v>
      </c>
    </row>
    <row r="24" spans="1:15" ht="60" customHeight="1" x14ac:dyDescent="0.25">
      <c r="A24" s="7" t="s">
        <v>140</v>
      </c>
      <c r="B24" s="2" t="s">
        <v>141</v>
      </c>
      <c r="C24" s="2" t="s">
        <v>142</v>
      </c>
      <c r="D24" s="7" t="s">
        <v>20</v>
      </c>
      <c r="E24" s="8" t="s">
        <v>143</v>
      </c>
      <c r="F24" s="2" t="s">
        <v>144</v>
      </c>
      <c r="G24" s="2" t="s">
        <v>145</v>
      </c>
      <c r="H24" s="2" t="s">
        <v>146</v>
      </c>
      <c r="I24" s="2" t="s">
        <v>147</v>
      </c>
      <c r="J24" s="19" t="s">
        <v>26</v>
      </c>
      <c r="K24" s="10"/>
      <c r="L24" s="11"/>
      <c r="M24" s="12"/>
      <c r="N24" s="2"/>
      <c r="O24" s="21" t="s">
        <v>148</v>
      </c>
    </row>
    <row r="25" spans="1:15" ht="60" customHeight="1" x14ac:dyDescent="0.25">
      <c r="A25" s="13" t="s">
        <v>140</v>
      </c>
      <c r="B25" s="12" t="s">
        <v>141</v>
      </c>
      <c r="C25" s="12" t="s">
        <v>142</v>
      </c>
      <c r="D25" s="13" t="s">
        <v>20</v>
      </c>
      <c r="E25" s="14" t="s">
        <v>149</v>
      </c>
      <c r="F25" s="12" t="s">
        <v>150</v>
      </c>
      <c r="G25" s="12" t="s">
        <v>151</v>
      </c>
      <c r="H25" s="12" t="s">
        <v>152</v>
      </c>
      <c r="I25" s="12" t="s">
        <v>153</v>
      </c>
      <c r="J25" s="9"/>
      <c r="K25" s="10"/>
      <c r="L25" s="11"/>
      <c r="M25" s="13" t="s">
        <v>26</v>
      </c>
      <c r="N25" s="12"/>
      <c r="O25" s="21" t="s">
        <v>154</v>
      </c>
    </row>
    <row r="26" spans="1:15" ht="60" customHeight="1" x14ac:dyDescent="0.25">
      <c r="A26" s="7" t="s">
        <v>140</v>
      </c>
      <c r="B26" s="2" t="s">
        <v>141</v>
      </c>
      <c r="C26" s="2" t="s">
        <v>142</v>
      </c>
      <c r="D26" s="7" t="s">
        <v>20</v>
      </c>
      <c r="E26" s="8" t="s">
        <v>155</v>
      </c>
      <c r="F26" s="2" t="s">
        <v>156</v>
      </c>
      <c r="G26" s="2" t="s">
        <v>157</v>
      </c>
      <c r="H26" s="2" t="s">
        <v>158</v>
      </c>
      <c r="I26" s="2" t="s">
        <v>159</v>
      </c>
      <c r="J26" s="19" t="s">
        <v>26</v>
      </c>
      <c r="K26" s="10"/>
      <c r="L26" s="11"/>
      <c r="M26" s="12"/>
      <c r="N26" s="2"/>
      <c r="O26" s="21" t="s">
        <v>148</v>
      </c>
    </row>
    <row r="27" spans="1:15" ht="60" customHeight="1" x14ac:dyDescent="0.25">
      <c r="A27" s="13" t="s">
        <v>160</v>
      </c>
      <c r="B27" s="12" t="s">
        <v>161</v>
      </c>
      <c r="C27" s="12" t="s">
        <v>162</v>
      </c>
      <c r="D27" s="13" t="s">
        <v>20</v>
      </c>
      <c r="E27" s="14" t="s">
        <v>163</v>
      </c>
      <c r="F27" s="12" t="s">
        <v>164</v>
      </c>
      <c r="G27" s="12" t="s">
        <v>165</v>
      </c>
      <c r="H27" s="12" t="s">
        <v>166</v>
      </c>
      <c r="I27" s="12" t="s">
        <v>167</v>
      </c>
      <c r="J27" s="19" t="s">
        <v>26</v>
      </c>
      <c r="K27" s="10"/>
      <c r="L27" s="11"/>
      <c r="M27" s="12"/>
      <c r="N27" s="12"/>
      <c r="O27" s="21" t="s">
        <v>168</v>
      </c>
    </row>
    <row r="28" spans="1:15" ht="60" customHeight="1" x14ac:dyDescent="0.25">
      <c r="A28" s="7" t="s">
        <v>169</v>
      </c>
      <c r="B28" s="2" t="s">
        <v>161</v>
      </c>
      <c r="C28" s="2" t="s">
        <v>162</v>
      </c>
      <c r="D28" s="7" t="s">
        <v>20</v>
      </c>
      <c r="E28" s="8" t="s">
        <v>170</v>
      </c>
      <c r="F28" s="2" t="s">
        <v>171</v>
      </c>
      <c r="G28" s="2" t="s">
        <v>172</v>
      </c>
      <c r="H28" s="2" t="s">
        <v>173</v>
      </c>
      <c r="I28" s="2" t="s">
        <v>174</v>
      </c>
      <c r="J28" s="19" t="s">
        <v>26</v>
      </c>
      <c r="K28" s="10"/>
      <c r="L28" s="11"/>
      <c r="M28" s="12"/>
      <c r="N28" s="2"/>
      <c r="O28" s="21" t="s">
        <v>175</v>
      </c>
    </row>
    <row r="29" spans="1:15" ht="60" customHeight="1" x14ac:dyDescent="0.25">
      <c r="A29" s="13" t="s">
        <v>160</v>
      </c>
      <c r="B29" s="12" t="s">
        <v>161</v>
      </c>
      <c r="C29" s="12" t="s">
        <v>162</v>
      </c>
      <c r="D29" s="13" t="s">
        <v>20</v>
      </c>
      <c r="E29" s="14" t="s">
        <v>176</v>
      </c>
      <c r="F29" s="12" t="s">
        <v>177</v>
      </c>
      <c r="G29" s="12" t="s">
        <v>178</v>
      </c>
      <c r="H29" s="12" t="s">
        <v>179</v>
      </c>
      <c r="I29" s="12" t="s">
        <v>180</v>
      </c>
      <c r="J29" s="19" t="s">
        <v>26</v>
      </c>
      <c r="K29" s="10"/>
      <c r="L29" s="11"/>
      <c r="M29" s="12"/>
      <c r="N29" s="12"/>
      <c r="O29" s="21" t="s">
        <v>168</v>
      </c>
    </row>
    <row r="30" spans="1:15" ht="60" customHeight="1" x14ac:dyDescent="0.25">
      <c r="A30" s="7" t="s">
        <v>160</v>
      </c>
      <c r="B30" s="2" t="s">
        <v>161</v>
      </c>
      <c r="C30" s="2" t="s">
        <v>162</v>
      </c>
      <c r="D30" s="7" t="s">
        <v>20</v>
      </c>
      <c r="E30" s="8" t="s">
        <v>181</v>
      </c>
      <c r="F30" s="2" t="s">
        <v>182</v>
      </c>
      <c r="G30" s="2" t="s">
        <v>183</v>
      </c>
      <c r="H30" s="2" t="s">
        <v>184</v>
      </c>
      <c r="I30" s="2" t="s">
        <v>185</v>
      </c>
      <c r="J30" s="19" t="s">
        <v>26</v>
      </c>
      <c r="K30" s="10"/>
      <c r="L30" s="11"/>
      <c r="M30" s="12"/>
      <c r="N30" s="2"/>
      <c r="O30" s="21" t="s">
        <v>168</v>
      </c>
    </row>
    <row r="31" spans="1:15" ht="60" customHeight="1" x14ac:dyDescent="0.25">
      <c r="A31" s="13" t="s">
        <v>186</v>
      </c>
      <c r="B31" s="12" t="s">
        <v>187</v>
      </c>
      <c r="C31" s="12" t="s">
        <v>188</v>
      </c>
      <c r="D31" s="13" t="s">
        <v>20</v>
      </c>
      <c r="E31" s="14" t="s">
        <v>189</v>
      </c>
      <c r="F31" s="12" t="s">
        <v>190</v>
      </c>
      <c r="G31" s="12" t="s">
        <v>191</v>
      </c>
      <c r="H31" s="12" t="s">
        <v>192</v>
      </c>
      <c r="I31" s="12" t="s">
        <v>193</v>
      </c>
      <c r="J31" s="19" t="s">
        <v>26</v>
      </c>
      <c r="K31" s="10"/>
      <c r="L31" s="11"/>
      <c r="M31" s="12"/>
      <c r="N31" s="12"/>
      <c r="O31" s="21" t="s">
        <v>194</v>
      </c>
    </row>
    <row r="32" spans="1:15" ht="60" customHeight="1" x14ac:dyDescent="0.25">
      <c r="A32" s="7" t="s">
        <v>195</v>
      </c>
      <c r="B32" s="2" t="s">
        <v>196</v>
      </c>
      <c r="C32" s="2" t="s">
        <v>197</v>
      </c>
      <c r="D32" s="7" t="s">
        <v>20</v>
      </c>
      <c r="E32" s="8" t="s">
        <v>198</v>
      </c>
      <c r="F32" s="2" t="s">
        <v>199</v>
      </c>
      <c r="G32" s="2" t="s">
        <v>200</v>
      </c>
      <c r="H32" s="2" t="s">
        <v>35</v>
      </c>
      <c r="I32" s="2" t="s">
        <v>201</v>
      </c>
      <c r="J32" s="19" t="s">
        <v>26</v>
      </c>
      <c r="K32" s="10"/>
      <c r="L32" s="11"/>
      <c r="M32" s="12"/>
      <c r="N32" s="2"/>
      <c r="O32" s="21" t="s">
        <v>27</v>
      </c>
    </row>
    <row r="33" spans="1:15" ht="60" customHeight="1" x14ac:dyDescent="0.25">
      <c r="A33" s="13" t="s">
        <v>202</v>
      </c>
      <c r="B33" s="12" t="s">
        <v>203</v>
      </c>
      <c r="C33" s="12" t="s">
        <v>204</v>
      </c>
      <c r="D33" s="13" t="s">
        <v>37</v>
      </c>
      <c r="E33" s="14" t="s">
        <v>205</v>
      </c>
      <c r="F33" s="12" t="s">
        <v>206</v>
      </c>
      <c r="G33" s="12" t="s">
        <v>207</v>
      </c>
      <c r="H33" s="12" t="s">
        <v>208</v>
      </c>
      <c r="I33" s="12" t="s">
        <v>209</v>
      </c>
      <c r="J33" s="19" t="s">
        <v>26</v>
      </c>
      <c r="K33" s="10"/>
      <c r="L33" s="11"/>
      <c r="M33" s="12"/>
      <c r="N33" s="12"/>
      <c r="O33" s="21" t="s">
        <v>210</v>
      </c>
    </row>
  </sheetData>
  <mergeCells count="12">
    <mergeCell ref="A1:N1"/>
    <mergeCell ref="H2:H3"/>
    <mergeCell ref="C2:C3"/>
    <mergeCell ref="B2:B3"/>
    <mergeCell ref="A2:A3"/>
    <mergeCell ref="N2:N3"/>
    <mergeCell ref="D2:D3"/>
    <mergeCell ref="J2:M2"/>
    <mergeCell ref="F2:F3"/>
    <mergeCell ref="E2:E3"/>
    <mergeCell ref="I2:I3"/>
    <mergeCell ref="G2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showGridLines="0" zoomScale="85" zoomScaleNormal="85" workbookViewId="0">
      <selection activeCell="G18" sqref="G18"/>
    </sheetView>
  </sheetViews>
  <sheetFormatPr baseColWidth="10" defaultColWidth="8.7109375" defaultRowHeight="15" x14ac:dyDescent="0.25"/>
  <cols>
    <col min="1" max="1" width="10" customWidth="1"/>
    <col min="2" max="2" width="65" customWidth="1"/>
    <col min="3" max="3" width="12" customWidth="1"/>
  </cols>
  <sheetData>
    <row r="1" spans="1:3" ht="31.5" customHeight="1" x14ac:dyDescent="0.25">
      <c r="A1" s="32" t="s">
        <v>226</v>
      </c>
      <c r="B1" s="23"/>
      <c r="C1" s="23"/>
    </row>
    <row r="2" spans="1:3" ht="15.75" customHeight="1" x14ac:dyDescent="0.25">
      <c r="A2" s="33" t="s">
        <v>227</v>
      </c>
      <c r="B2" s="23"/>
      <c r="C2" s="23"/>
    </row>
    <row r="3" spans="1:3" ht="19.5" customHeight="1" x14ac:dyDescent="0.25">
      <c r="A3" s="28" t="s">
        <v>228</v>
      </c>
      <c r="B3" s="29"/>
      <c r="C3" s="29"/>
    </row>
    <row r="4" spans="1:3" ht="36" customHeight="1" x14ac:dyDescent="0.25">
      <c r="A4" s="8" t="s">
        <v>229</v>
      </c>
      <c r="B4" s="2" t="s">
        <v>230</v>
      </c>
      <c r="C4" s="15" t="s">
        <v>13</v>
      </c>
    </row>
    <row r="5" spans="1:3" ht="36" customHeight="1" x14ac:dyDescent="0.25">
      <c r="A5" s="14" t="s">
        <v>231</v>
      </c>
      <c r="B5" s="12" t="s">
        <v>232</v>
      </c>
      <c r="C5" s="15" t="s">
        <v>13</v>
      </c>
    </row>
    <row r="6" spans="1:3" ht="36" customHeight="1" x14ac:dyDescent="0.25">
      <c r="A6" s="8" t="s">
        <v>233</v>
      </c>
      <c r="B6" s="2" t="s">
        <v>234</v>
      </c>
      <c r="C6" s="15" t="s">
        <v>13</v>
      </c>
    </row>
    <row r="7" spans="1:3" ht="19.5" customHeight="1" x14ac:dyDescent="0.25">
      <c r="A7" s="28" t="s">
        <v>235</v>
      </c>
      <c r="B7" s="29"/>
      <c r="C7" s="29"/>
    </row>
    <row r="8" spans="1:3" ht="36" customHeight="1" x14ac:dyDescent="0.25">
      <c r="A8" s="8" t="s">
        <v>236</v>
      </c>
      <c r="B8" s="2" t="s">
        <v>237</v>
      </c>
      <c r="C8" s="15" t="s">
        <v>13</v>
      </c>
    </row>
    <row r="9" spans="1:3" ht="36" customHeight="1" x14ac:dyDescent="0.25">
      <c r="A9" s="14" t="s">
        <v>238</v>
      </c>
      <c r="B9" s="12" t="s">
        <v>239</v>
      </c>
      <c r="C9" s="15" t="s">
        <v>13</v>
      </c>
    </row>
    <row r="10" spans="1:3" ht="36" customHeight="1" x14ac:dyDescent="0.25">
      <c r="A10" s="8" t="s">
        <v>240</v>
      </c>
      <c r="B10" s="2" t="s">
        <v>241</v>
      </c>
      <c r="C10" s="15" t="s">
        <v>13</v>
      </c>
    </row>
    <row r="11" spans="1:3" ht="19.5" customHeight="1" x14ac:dyDescent="0.25">
      <c r="A11" s="28" t="s">
        <v>242</v>
      </c>
      <c r="B11" s="29"/>
      <c r="C11" s="29"/>
    </row>
    <row r="12" spans="1:3" ht="36" customHeight="1" x14ac:dyDescent="0.25">
      <c r="A12" s="8" t="s">
        <v>243</v>
      </c>
      <c r="B12" s="2" t="s">
        <v>244</v>
      </c>
      <c r="C12" s="15" t="s">
        <v>13</v>
      </c>
    </row>
    <row r="13" spans="1:3" ht="36" customHeight="1" x14ac:dyDescent="0.25">
      <c r="A13" s="14" t="s">
        <v>245</v>
      </c>
      <c r="B13" s="12" t="s">
        <v>246</v>
      </c>
      <c r="C13" s="15" t="s">
        <v>13</v>
      </c>
    </row>
    <row r="14" spans="1:3" ht="36" customHeight="1" x14ac:dyDescent="0.25">
      <c r="A14" s="8" t="s">
        <v>247</v>
      </c>
      <c r="B14" s="2" t="s">
        <v>248</v>
      </c>
      <c r="C14" s="15" t="s">
        <v>13</v>
      </c>
    </row>
    <row r="15" spans="1:3" ht="19.5" customHeight="1" x14ac:dyDescent="0.25">
      <c r="A15" s="28" t="s">
        <v>249</v>
      </c>
      <c r="B15" s="29"/>
      <c r="C15" s="29"/>
    </row>
    <row r="16" spans="1:3" ht="36" customHeight="1" x14ac:dyDescent="0.25">
      <c r="A16" s="8" t="s">
        <v>250</v>
      </c>
      <c r="B16" s="2" t="s">
        <v>251</v>
      </c>
      <c r="C16" s="15" t="s">
        <v>13</v>
      </c>
    </row>
    <row r="17" spans="1:3" ht="36" customHeight="1" x14ac:dyDescent="0.25">
      <c r="A17" s="14" t="s">
        <v>252</v>
      </c>
      <c r="B17" s="12" t="s">
        <v>253</v>
      </c>
      <c r="C17" s="15" t="s">
        <v>13</v>
      </c>
    </row>
    <row r="18" spans="1:3" ht="36" customHeight="1" x14ac:dyDescent="0.25">
      <c r="A18" s="8" t="s">
        <v>254</v>
      </c>
      <c r="B18" s="2" t="s">
        <v>255</v>
      </c>
      <c r="C18" s="15" t="s">
        <v>13</v>
      </c>
    </row>
    <row r="19" spans="1:3" ht="19.5" customHeight="1" x14ac:dyDescent="0.25"/>
    <row r="20" spans="1:3" ht="36" customHeight="1" x14ac:dyDescent="0.25"/>
    <row r="21" spans="1:3" ht="36" customHeight="1" x14ac:dyDescent="0.25"/>
    <row r="22" spans="1:3" ht="36" customHeight="1" x14ac:dyDescent="0.25"/>
  </sheetData>
  <mergeCells count="6">
    <mergeCell ref="A11:C11"/>
    <mergeCell ref="A1:C1"/>
    <mergeCell ref="A3:C3"/>
    <mergeCell ref="A15:C15"/>
    <mergeCell ref="A7:C7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zoomScaleNormal="100" workbookViewId="0">
      <selection activeCell="B6" sqref="B6"/>
    </sheetView>
  </sheetViews>
  <sheetFormatPr baseColWidth="10" defaultColWidth="8.7109375" defaultRowHeight="15" x14ac:dyDescent="0.25"/>
  <cols>
    <col min="1" max="1" width="38" customWidth="1"/>
    <col min="2" max="2" width="14" customWidth="1"/>
  </cols>
  <sheetData>
    <row r="1" spans="1:2" ht="30" customHeight="1" x14ac:dyDescent="0.25">
      <c r="A1" s="32" t="s">
        <v>256</v>
      </c>
      <c r="B1" s="23"/>
    </row>
    <row r="2" spans="1:2" ht="21.75" customHeight="1" x14ac:dyDescent="0.25">
      <c r="A2" s="16" t="s">
        <v>257</v>
      </c>
      <c r="B2" s="17">
        <f>COUNTA('Casos de Prueba'!E4:E33)</f>
        <v>30</v>
      </c>
    </row>
    <row r="3" spans="1:2" ht="21.75" customHeight="1" x14ac:dyDescent="0.25">
      <c r="A3" s="18" t="s">
        <v>258</v>
      </c>
      <c r="B3" s="17">
        <v>28</v>
      </c>
    </row>
    <row r="4" spans="1:2" ht="21.75" customHeight="1" x14ac:dyDescent="0.25">
      <c r="A4" s="16" t="s">
        <v>259</v>
      </c>
      <c r="B4" s="17">
        <f>COUNTIF('Casos de Prueba'!K4:K33,"NO")</f>
        <v>0</v>
      </c>
    </row>
    <row r="5" spans="1:2" ht="21.75" customHeight="1" x14ac:dyDescent="0.25">
      <c r="A5" s="18" t="s">
        <v>260</v>
      </c>
      <c r="B5" s="17">
        <f>COUNTIF('Casos de Prueba'!L4:L33,"NA")</f>
        <v>0</v>
      </c>
    </row>
    <row r="6" spans="1:2" ht="21.75" customHeight="1" x14ac:dyDescent="0.25">
      <c r="A6" s="16" t="s">
        <v>261</v>
      </c>
      <c r="B6" s="17">
        <v>1</v>
      </c>
    </row>
    <row r="7" spans="1:2" ht="21.75" customHeight="1" x14ac:dyDescent="0.25">
      <c r="A7" s="2"/>
      <c r="B7" s="17"/>
    </row>
    <row r="8" spans="1:2" ht="21.75" customHeight="1" x14ac:dyDescent="0.25">
      <c r="A8" s="16" t="s">
        <v>262</v>
      </c>
      <c r="B8" s="17">
        <f>COUNTIF('Pruebas Estándar'!C4:C40,"OK")</f>
        <v>12</v>
      </c>
    </row>
    <row r="9" spans="1:2" ht="21.75" customHeight="1" x14ac:dyDescent="0.25">
      <c r="A9" s="18" t="s">
        <v>263</v>
      </c>
      <c r="B9" s="17">
        <f>COUNTIF('Pruebas Estándar'!C4:C40,"NC")</f>
        <v>0</v>
      </c>
    </row>
    <row r="10" spans="1:2" ht="21.75" customHeight="1" x14ac:dyDescent="0.25">
      <c r="A10" s="16" t="s">
        <v>264</v>
      </c>
      <c r="B10" s="17">
        <f>COUNTIF('Pruebas Estándar'!C4:C40,"NA")</f>
        <v>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Casos de Prueba</vt:lpstr>
      <vt:lpstr>Pruebas Estándar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IGNACIO MARDONES ARAYA</cp:lastModifiedBy>
  <cp:revision>0</cp:revision>
  <dcterms:created xsi:type="dcterms:W3CDTF">2026-06-07T23:56:36Z</dcterms:created>
  <dcterms:modified xsi:type="dcterms:W3CDTF">2026-06-23T15:13:10Z</dcterms:modified>
  <dc:language>en-US</dc:language>
</cp:coreProperties>
</file>